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es" sheetId="1" state="visible" r:id="rId3"/>
    <sheet name="Sources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<sst xmlns="http://schemas.openxmlformats.org/spreadsheetml/2006/main" count="322" uniqueCount="255">
  <si>
    <t xml:space="preserve">DRC.Geo — The 26 Provinces of the Democratic Republic of the Congo (v1)</t>
  </si>
  <si>
    <t xml:space="preserve">Population: OCHA HPC 2024 projections (HDX cod-ps-cod) · Area: INS Annuaire Statistique 2020 · Qualitative fields: compiled, see Sources sheet</t>
  </si>
  <si>
    <t xml:space="preserve">Province</t>
  </si>
  <si>
    <t xml:space="preserve">ISO 3166-2</t>
  </si>
  <si>
    <t xml:space="preserve">Capital</t>
  </si>
  <si>
    <t xml:space="preserve">Former province (pre-2015)</t>
  </si>
  <si>
    <t xml:space="preserve">Area (km²)</t>
  </si>
  <si>
    <t xml:space="preserve">Population 2024 (OCHA proj.)</t>
  </si>
  <si>
    <t xml:space="preserve">Density (per km²)</t>
  </si>
  <si>
    <t xml:space="preserve">Time zone</t>
  </si>
  <si>
    <t xml:space="preserve">Dominant national language(s)</t>
  </si>
  <si>
    <t xml:space="preserve">Main local languages</t>
  </si>
  <si>
    <t xml:space="preserve">Natural resources</t>
  </si>
  <si>
    <t xml:space="preserve">Economy &amp; specialties</t>
  </si>
  <si>
    <t xml:space="preserve">Particularities</t>
  </si>
  <si>
    <t xml:space="preserve">Education &amp; institutions</t>
  </si>
  <si>
    <t xml:space="preserve">Kinshasa</t>
  </si>
  <si>
    <t xml:space="preserve">CD-KN</t>
  </si>
  <si>
    <t xml:space="preserve">(city-province)</t>
  </si>
  <si>
    <t xml:space="preserve">UTC+1</t>
  </si>
  <si>
    <t xml:space="preserve">Lingala</t>
  </si>
  <si>
    <t xml:space="preserve">Kikongo, Tshiluba, Swahili (migrant communities)</t>
  </si>
  <si>
    <t xml:space="preserve">Limestone, peri-urban agriculture, river sand</t>
  </si>
  <si>
    <t xml:space="preserve">Administration, services, commerce, light industry, river port of Kinshasa</t>
  </si>
  <si>
    <t xml:space="preserve">Capital and city-province; largest French-speaking city in the world; faces Brazzaville across the Congo River (closest capital pair in the world)</t>
  </si>
  <si>
    <t xml:space="preserve">Université de Kinshasa (UNIKIN), UPN, UPC and dozens of institutions; highest literacy in the country</t>
  </si>
  <si>
    <t xml:space="preserve">Kongo-Central</t>
  </si>
  <si>
    <t xml:space="preserve">CD-BC</t>
  </si>
  <si>
    <t xml:space="preserve">Matadi</t>
  </si>
  <si>
    <t xml:space="preserve">Bas-Congo</t>
  </si>
  <si>
    <t xml:space="preserve">Kikongo</t>
  </si>
  <si>
    <t xml:space="preserve">Kiyombe, Kindibu, Kimanianga</t>
  </si>
  <si>
    <t xml:space="preserve">Offshore/onshore oil (Muanda), hydropower (Inga I &amp; II, planned Grand Inga), bauxite, limestone</t>
  </si>
  <si>
    <t xml:space="preserve">Ports of Matadi and Boma (country's main import corridor), cement, oil production</t>
  </si>
  <si>
    <t xml:space="preserve">Only province with an Atlantic coastline (~37 km); Inga dams on the Congo River have the world's largest hydropower potential</t>
  </si>
  <si>
    <t xml:space="preserve">Université Kongo (Mbanza-Ngungu); relatively good school coverage</t>
  </si>
  <si>
    <t xml:space="preserve">Kwango</t>
  </si>
  <si>
    <t xml:space="preserve">CD-KG</t>
  </si>
  <si>
    <t xml:space="preserve">Kenge</t>
  </si>
  <si>
    <t xml:space="preserve">Bandundu</t>
  </si>
  <si>
    <t xml:space="preserve">Kikongo, Lingala</t>
  </si>
  <si>
    <t xml:space="preserve">Kiyaka, Kipende, Kisuku</t>
  </si>
  <si>
    <t xml:space="preserve">Artisanal diamonds, copal, agricultural land</t>
  </si>
  <si>
    <t xml:space="preserve">Subsistence agriculture (cassava, millet), livestock, cross-border trade with Angola</t>
  </si>
  <si>
    <t xml:space="preserve">Heartland of the historic Yaka kingdom; Kwango River valley</t>
  </si>
  <si>
    <t xml:space="preserve">Limited; ISP Kenge; low school coverage in rural areas</t>
  </si>
  <si>
    <t xml:space="preserve">Kwilu</t>
  </si>
  <si>
    <t xml:space="preserve">CD-KL</t>
  </si>
  <si>
    <t xml:space="preserve">Bandundu (ville)</t>
  </si>
  <si>
    <t xml:space="preserve">Kimbala, Kipende, Kimbunda, Kiyansi</t>
  </si>
  <si>
    <t xml:space="preserve">Oil palm, fertile agricultural land, timber</t>
  </si>
  <si>
    <t xml:space="preserve">Main food basket of Kinshasa (cassava, maize, palm oil); Kikwit is the commercial hub</t>
  </si>
  <si>
    <t xml:space="preserve">Kikwit was the site of the 1995 Ebola outbreak; cradle of the 1964 Mulele rebellion</t>
  </si>
  <si>
    <t xml:space="preserve">ISP Kikwit, Université de Bandundu; dense network of church schools</t>
  </si>
  <si>
    <t xml:space="preserve">Maï-Ndombe</t>
  </si>
  <si>
    <t xml:space="preserve">CD-MN</t>
  </si>
  <si>
    <t xml:space="preserve">Inongo</t>
  </si>
  <si>
    <t xml:space="preserve">Kimongo (Nkundo), Kisakata, Kitetela</t>
  </si>
  <si>
    <t xml:space="preserve">Timber, fisheries (Lake Maï-Ndombe), peatlands</t>
  </si>
  <si>
    <t xml:space="preserve">Forestry, fishing, world-first jurisdictional REDD+ carbon program</t>
  </si>
  <si>
    <t xml:space="preserve">Lake Maï-Ndombe; part of the Cuvette Centrale peatlands, one of Earth's largest carbon stores</t>
  </si>
  <si>
    <t xml:space="preserve">Very limited; low literacy; schools concentrated around Inongo</t>
  </si>
  <si>
    <t xml:space="preserve">Kasaï</t>
  </si>
  <si>
    <t xml:space="preserve">CD-KS</t>
  </si>
  <si>
    <t xml:space="preserve">Tshikapa</t>
  </si>
  <si>
    <t xml:space="preserve">Kasaï-Occidental</t>
  </si>
  <si>
    <t xml:space="preserve">UTC+2</t>
  </si>
  <si>
    <t xml:space="preserve">Tshiluba</t>
  </si>
  <si>
    <t xml:space="preserve">Kipende, Tshokwe, Kilele</t>
  </si>
  <si>
    <t xml:space="preserve">Alluvial diamonds (Tshikapa fields)</t>
  </si>
  <si>
    <t xml:space="preserve">Artisanal diamond mining, agriculture, trade with Angola</t>
  </si>
  <si>
    <t xml:space="preserve">Epicenter (with Kasaï-Central) of the 2016-17 Kamuina Nsapu insurgency</t>
  </si>
  <si>
    <t xml:space="preserve">Limited; ISP Tshikapa; schooling heavily disrupted by the 2016-17 crisis</t>
  </si>
  <si>
    <t xml:space="preserve">Kasaï-Central</t>
  </si>
  <si>
    <t xml:space="preserve">CD-KC</t>
  </si>
  <si>
    <t xml:space="preserve">Kananga</t>
  </si>
  <si>
    <t xml:space="preserve">Other Luba dialects</t>
  </si>
  <si>
    <t xml:space="preserve">Diamonds, agricultural land</t>
  </si>
  <si>
    <t xml:space="preserve">Agriculture, rail hub on the Lubumbashi-Ilebo line</t>
  </si>
  <si>
    <t xml:space="preserve">Kananga is one of the country's largest cities; origin of the Kamuina Nsapu movement</t>
  </si>
  <si>
    <t xml:space="preserve">Université Notre-Dame du Kasayi (UKA); strong Catholic school network</t>
  </si>
  <si>
    <t xml:space="preserve">Kasaï-Oriental</t>
  </si>
  <si>
    <t xml:space="preserve">CD-KE</t>
  </si>
  <si>
    <t xml:space="preserve">Mbuji-Mayi</t>
  </si>
  <si>
    <t xml:space="preserve">—</t>
  </si>
  <si>
    <t xml:space="preserve">Industrial diamonds (MIBA concessions)</t>
  </si>
  <si>
    <t xml:space="preserve">Diamond economy; historically the world's largest industrial diamond producer</t>
  </si>
  <si>
    <t xml:space="preserve">Smallest province; highest population density outside Kinshasa; economic decline tied to MIBA's collapse</t>
  </si>
  <si>
    <t xml:space="preserve">Université Officielle de Mbujimayi</t>
  </si>
  <si>
    <t xml:space="preserve">Lomami</t>
  </si>
  <si>
    <t xml:space="preserve">CD-LO</t>
  </si>
  <si>
    <t xml:space="preserve">Kabinda</t>
  </si>
  <si>
    <t xml:space="preserve">Kisonge, Kanyoka</t>
  </si>
  <si>
    <t xml:space="preserve">Agriculture (maize, groundnuts); Mwene-Ditu is the rail/commercial hub</t>
  </si>
  <si>
    <t xml:space="preserve">Crossroads between the Kasaï and Katanga regions</t>
  </si>
  <si>
    <t xml:space="preserve">Limited; ISP Kabinda</t>
  </si>
  <si>
    <t xml:space="preserve">Sankuru</t>
  </si>
  <si>
    <t xml:space="preserve">CD-SA</t>
  </si>
  <si>
    <t xml:space="preserve">Lusambo</t>
  </si>
  <si>
    <t xml:space="preserve">Otetela, Tshiluba</t>
  </si>
  <si>
    <t xml:space="preserve">Lingala (trade)</t>
  </si>
  <si>
    <t xml:space="preserve">Forest, oil palm, artisanal diamonds</t>
  </si>
  <si>
    <t xml:space="preserve">Agriculture and forest products; very isolated</t>
  </si>
  <si>
    <t xml:space="preserve">Birthplace of Patrice Lumumba (Onalua); Sankuru Nature Reserve, key bonobo habitat</t>
  </si>
  <si>
    <t xml:space="preserve">Limited; low school coverage</t>
  </si>
  <si>
    <t xml:space="preserve">Maniema</t>
  </si>
  <si>
    <t xml:space="preserve">CD-MA</t>
  </si>
  <si>
    <t xml:space="preserve">Kindu</t>
  </si>
  <si>
    <t xml:space="preserve">Swahili</t>
  </si>
  <si>
    <t xml:space="preserve">Kirega, Kikusu, Kisonge</t>
  </si>
  <si>
    <t xml:space="preserve">Cassiterite (tin), coltan, gold (Salamabila/Namoya)</t>
  </si>
  <si>
    <t xml:space="preserve">Mining, river transport on the Lualaba (upper Congo)</t>
  </si>
  <si>
    <t xml:space="preserve">Historic Swahili-Arab trading corridor (Tippu Tip era); Kindu river-rail junction</t>
  </si>
  <si>
    <t xml:space="preserve">Université de Kindu</t>
  </si>
  <si>
    <t xml:space="preserve">Sud-Kivu</t>
  </si>
  <si>
    <t xml:space="preserve">CD-SK</t>
  </si>
  <si>
    <t xml:space="preserve">Bukavu</t>
  </si>
  <si>
    <t xml:space="preserve">Mashi, Kirega, Kifuliiru, Kibembe</t>
  </si>
  <si>
    <t xml:space="preserve">Gold, coltan, cassiterite, methane (Lake Kivu)</t>
  </si>
  <si>
    <t xml:space="preserve">Artisanal mining, highland coffee and tea, fishing</t>
  </si>
  <si>
    <t xml:space="preserve">Kahuzi-Biega NP (Grauer's gorilla, UNESCO); Panzi Hospital of Dr Denis Mukwege (Nobel Peace 2018); conflict-affected (incl. M23 crisis 2024-25)</t>
  </si>
  <si>
    <t xml:space="preserve">Université Officielle de Bukavu, Université Catholique de Bukavu</t>
  </si>
  <si>
    <t xml:space="preserve">Nord-Kivu</t>
  </si>
  <si>
    <t xml:space="preserve">CD-NK</t>
  </si>
  <si>
    <t xml:space="preserve">Goma</t>
  </si>
  <si>
    <t xml:space="preserve">Kinande, Kinyarwanda, Kihunde, Kinyanga</t>
  </si>
  <si>
    <t xml:space="preserve">Coltan, cassiterite, gold; very fertile volcanic soils</t>
  </si>
  <si>
    <t xml:space="preserve">Mining, coffee, cross-border trade with Rwanda/Uganda; tourism (pre-conflict)</t>
  </si>
  <si>
    <t xml:space="preserve">Virunga NP, Africa's oldest park (mountain gorillas); Nyiragongo volcano (eruptions 2002, 2021); epicenter of the M23 conflict — Goma seized in Jan 2025</t>
  </si>
  <si>
    <t xml:space="preserve">Université de Goma; schooling heavily disrupted by displacement</t>
  </si>
  <si>
    <t xml:space="preserve">Ituri</t>
  </si>
  <si>
    <t xml:space="preserve">CD-IT</t>
  </si>
  <si>
    <t xml:space="preserve">Bunia</t>
  </si>
  <si>
    <t xml:space="preserve">Orientale</t>
  </si>
  <si>
    <t xml:space="preserve">Swahili, Lingala</t>
  </si>
  <si>
    <t xml:space="preserve">Kilendu, Kihema, Alur, Logo</t>
  </si>
  <si>
    <t xml:space="preserve">Gold (Kilo-Moto belt), oil potential (Lake Albert), timber</t>
  </si>
  <si>
    <t xml:space="preserve">Gold mining, fishing (Lake Albert), livestock</t>
  </si>
  <si>
    <t xml:space="preserve">Okapi Wildlife Reserve (UNESCO); recurring intercommunal violence (CODECO); Ituri rainforest</t>
  </si>
  <si>
    <t xml:space="preserve">Université de Bunia; Shalom University</t>
  </si>
  <si>
    <t xml:space="preserve">Haut-Uele</t>
  </si>
  <si>
    <t xml:space="preserve">CD-HU</t>
  </si>
  <si>
    <t xml:space="preserve">Isiro</t>
  </si>
  <si>
    <t xml:space="preserve">Zande, Mangbetu</t>
  </si>
  <si>
    <t xml:space="preserve">Gold (Kibali, one of Africa's largest gold mines)</t>
  </si>
  <si>
    <t xml:space="preserve">Industrial gold mining, agriculture (rice, coffee)</t>
  </si>
  <si>
    <t xml:space="preserve">Garamba NP (northern white rhino now extinct there); historically hit by LRA incursions</t>
  </si>
  <si>
    <t xml:space="preserve">ISP Isiro</t>
  </si>
  <si>
    <t xml:space="preserve">Tshopo</t>
  </si>
  <si>
    <t xml:space="preserve">CD-TO</t>
  </si>
  <si>
    <t xml:space="preserve">Kisangani</t>
  </si>
  <si>
    <t xml:space="preserve">Lingala, Swahili</t>
  </si>
  <si>
    <t xml:space="preserve">Lokele, Topoke, Kumu</t>
  </si>
  <si>
    <t xml:space="preserve">Timber, gold, diamonds</t>
  </si>
  <si>
    <t xml:space="preserve">River trade hub at the great bend of the Congo, timber, fishing</t>
  </si>
  <si>
    <t xml:space="preserve">Largest province by area; Boyoma Falls with the famous Wagenia fishermen; Lingala-Swahili linguistic frontier</t>
  </si>
  <si>
    <t xml:space="preserve">Université de Kisangani (UNIKIS), major biodiversity research center</t>
  </si>
  <si>
    <t xml:space="preserve">Bas-Uele</t>
  </si>
  <si>
    <t xml:space="preserve">CD-BU</t>
  </si>
  <si>
    <t xml:space="preserve">Buta</t>
  </si>
  <si>
    <t xml:space="preserve">Zande, Ngbandi, Benge</t>
  </si>
  <si>
    <t xml:space="preserve">Artisanal gold and diamonds, timber</t>
  </si>
  <si>
    <t xml:space="preserve">Subsistence agriculture; formerly coffee and rice</t>
  </si>
  <si>
    <t xml:space="preserve">Least populated province; Bili forest, home to a famous chimpanzee population</t>
  </si>
  <si>
    <t xml:space="preserve">Very limited</t>
  </si>
  <si>
    <t xml:space="preserve">Nord-Ubangi</t>
  </si>
  <si>
    <t xml:space="preserve">CD-NU</t>
  </si>
  <si>
    <t xml:space="preserve">Gbadolite</t>
  </si>
  <si>
    <t xml:space="preserve">Équateur</t>
  </si>
  <si>
    <t xml:space="preserve">Ngbandi, Ngbaka</t>
  </si>
  <si>
    <t xml:space="preserve">Timber, agricultural land</t>
  </si>
  <si>
    <t xml:space="preserve">Coffee, subsistence agriculture</t>
  </si>
  <si>
    <t xml:space="preserve">Gbadolite hosts Mobutu's ruined palace complex ('Versailles of the jungle') and an oversized international airport</t>
  </si>
  <si>
    <t xml:space="preserve">Limited; ISP Gbadolite</t>
  </si>
  <si>
    <t xml:space="preserve">Mongala</t>
  </si>
  <si>
    <t xml:space="preserve">CD-MO</t>
  </si>
  <si>
    <t xml:space="preserve">Lisala</t>
  </si>
  <si>
    <t xml:space="preserve">Ngombe, Budja</t>
  </si>
  <si>
    <t xml:space="preserve">Timber, oil palm, rubber</t>
  </si>
  <si>
    <t xml:space="preserve">Congo River ports, plantation agriculture (declining)</t>
  </si>
  <si>
    <t xml:space="preserve">Lisala is the birthplace of Mobutu Sese Seko</t>
  </si>
  <si>
    <t xml:space="preserve">Limited</t>
  </si>
  <si>
    <t xml:space="preserve">Sud-Ubangi</t>
  </si>
  <si>
    <t xml:space="preserve">CD-SU</t>
  </si>
  <si>
    <t xml:space="preserve">Gemena</t>
  </si>
  <si>
    <t xml:space="preserve">Ngbaka, Mbanza, Ngbandi</t>
  </si>
  <si>
    <t xml:space="preserve">Oil palm, coffee, timber</t>
  </si>
  <si>
    <t xml:space="preserve">Agriculture, cross-border trade (CAR, Congo-Brazzaville)</t>
  </si>
  <si>
    <t xml:space="preserve">Hosts one of the largest Central African Republic refugee populations</t>
  </si>
  <si>
    <t xml:space="preserve">ISP Gemena; Université Protestante</t>
  </si>
  <si>
    <t xml:space="preserve">CD-EQ</t>
  </si>
  <si>
    <t xml:space="preserve">Mbandaka</t>
  </si>
  <si>
    <t xml:space="preserve">Lomongo, Ngombe</t>
  </si>
  <si>
    <t xml:space="preserve">Timber, fisheries, peatlands</t>
  </si>
  <si>
    <t xml:space="preserve">River trade, forestry, fishing</t>
  </si>
  <si>
    <t xml:space="preserve">Crossed by the Equator line; Cuvette Centrale peatlands (world's largest tropical peatland complex); Ebola outbreaks 2018 and 2020 in Mbandaka</t>
  </si>
  <si>
    <t xml:space="preserve">ISP Mbandaka</t>
  </si>
  <si>
    <t xml:space="preserve">Tshuapa</t>
  </si>
  <si>
    <t xml:space="preserve">CD-TU</t>
  </si>
  <si>
    <t xml:space="preserve">Boende</t>
  </si>
  <si>
    <t xml:space="preserve">Lomongo</t>
  </si>
  <si>
    <t xml:space="preserve">Timber, fisheries</t>
  </si>
  <si>
    <t xml:space="preserve">Subsistence agriculture; among the most isolated provinces</t>
  </si>
  <si>
    <t xml:space="preserve">Salonga NP, Africa's largest rainforest park (UNESCO), stronghold of the bonobo</t>
  </si>
  <si>
    <t xml:space="preserve">Tanganyika</t>
  </si>
  <si>
    <t xml:space="preserve">CD-TA</t>
  </si>
  <si>
    <t xml:space="preserve">Kalemie</t>
  </si>
  <si>
    <t xml:space="preserve">Katanga</t>
  </si>
  <si>
    <t xml:space="preserve">Kiluba, Kitabwa, Kibembe</t>
  </si>
  <si>
    <t xml:space="preserve">Tin, coal, gold; major lake fisheries</t>
  </si>
  <si>
    <t xml:space="preserve">Fishing on Lake Tanganyika, rail-lake transport hub at Kalemie</t>
  </si>
  <si>
    <t xml:space="preserve">Lake Tanganyika (world's 2nd deepest lake); Twa-Bantu intercommunal conflict; large displaced population</t>
  </si>
  <si>
    <t xml:space="preserve">ISP Kalemie</t>
  </si>
  <si>
    <t xml:space="preserve">Haut-Lomami</t>
  </si>
  <si>
    <t xml:space="preserve">CD-HL</t>
  </si>
  <si>
    <t xml:space="preserve">Kamina</t>
  </si>
  <si>
    <t xml:space="preserve">Kiluba</t>
  </si>
  <si>
    <t xml:space="preserve">Tin, agricultural land, Upemba wetlands</t>
  </si>
  <si>
    <t xml:space="preserve">Agriculture (maize), rail junction at Kamina</t>
  </si>
  <si>
    <t xml:space="preserve">Kamina strategic military base; Upemba NP and Lake Upemba wetlands (shared with Lualaba); heart of the historic Luba empire</t>
  </si>
  <si>
    <t xml:space="preserve">Université de Kamina</t>
  </si>
  <si>
    <t xml:space="preserve">Lualaba</t>
  </si>
  <si>
    <t xml:space="preserve">CD-LU</t>
  </si>
  <si>
    <t xml:space="preserve">Kolwezi</t>
  </si>
  <si>
    <t xml:space="preserve">Lunda, Ndembo, Sanga</t>
  </si>
  <si>
    <t xml:space="preserve">Copper and cobalt (world-class deposits: Tenke Fungurume, Mutanda, KOV, Kamoa-Kakula)</t>
  </si>
  <si>
    <t xml:space="preserve">Core of the copper-cobalt belt; single largest source of the world's cobalt supply</t>
  </si>
  <si>
    <t xml:space="preserve">Kolwezi is one of Africa's fastest-growing mining cities; Kamoa-Kakula is the world's largest new copper mine</t>
  </si>
  <si>
    <t xml:space="preserve">Université de Kolwezi; mining training institutes</t>
  </si>
  <si>
    <t xml:space="preserve">Haut-Katanga</t>
  </si>
  <si>
    <t xml:space="preserve">CD-HK</t>
  </si>
  <si>
    <t xml:space="preserve">Lubumbashi</t>
  </si>
  <si>
    <t xml:space="preserve">Kibemba, Kisanga</t>
  </si>
  <si>
    <t xml:space="preserve">Copper, cobalt, zinc, germanium (Kipushi)</t>
  </si>
  <si>
    <t xml:space="preserve">Industrial mining (Gécamines legacy), trade corridor to Zambia (Kasumbalesa)</t>
  </si>
  <si>
    <t xml:space="preserve">Lubumbashi, 2nd city and historical mining capital; Kundelungu NP with Lofoi Falls, one of Africa's tallest</t>
  </si>
  <si>
    <t xml:space="preserve">Université de Lubumbashi (UNILU), one of the country's top universities</t>
  </si>
  <si>
    <t xml:space="preserve">TOTAL DRC</t>
  </si>
  <si>
    <t xml:space="preserve">DRC.Geo — Sources &amp; data confidence</t>
  </si>
  <si>
    <t xml:space="preserve">FIELD</t>
  </si>
  <si>
    <t xml:space="preserve">SOURCE / CONFIDENCE</t>
  </si>
  <si>
    <t xml:space="preserve">Population 2024</t>
  </si>
  <si>
    <t xml:space="preserve">OCHA / DRC IM Working Group, HPC 2024 projections by health zone, summed by province. HDX dataset 'cod-ps-cod' (data.humdata.org/dataset/cod-ps-cod). PROJECTION — last national census was 1984; treat as best available estimate, not exact.</t>
  </si>
  <si>
    <t xml:space="preserve">INS (Institut National de la Statistique, RDC), Annuaire Statistique 2020. Official figures, stable.</t>
  </si>
  <si>
    <t xml:space="preserve">Capitals, ISO codes, former provinces</t>
  </si>
  <si>
    <t xml:space="preserve">Constitution of 2006 / 2015 découpage; ISO 3166-2:CD. High confidence.</t>
  </si>
  <si>
    <t xml:space="preserve">Languages</t>
  </si>
  <si>
    <t xml:space="preserve">French is the official language nationwide; the four national languages (Lingala, Swahili, Kikongo, Tshiluba) dominate by region. Local language lists are indicative, not exhaustive. Medium confidence.</t>
  </si>
  <si>
    <t xml:space="preserve">Natural resources / economy</t>
  </si>
  <si>
    <t xml:space="preserve">Compiled from public geological and economic literature (mining cadastre, World Bank, specialized press). Good confidence for major deposits; artisanal activity is under-documented.</t>
  </si>
  <si>
    <t xml:space="preserve">Education</t>
  </si>
  <si>
    <t xml:space="preserve">Province-level education statistics are scarce; this column lists main higher-education institutions and qualitative notes. TO ENRICH with INS / UNICEF MICS data in a later phase.</t>
  </si>
  <si>
    <t xml:space="preserve">Compiled; conflict-related items (Nord-Kivu, Sud-Kivu, Ituri) evolve quickly — verify before publication.</t>
  </si>
  <si>
    <t xml:space="preserve">NEXT PHASE</t>
  </si>
  <si>
    <t xml:space="preserve">Territory-level dataset (145 territories + cities). The same OCHA file already contains territory-level population — see data/territory_pop_2024.csv.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</si>
</sst>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1" min="11" style="0" width="34"/>
    <col collapsed="false" customWidth="true" hidden="false" outlineLevel="0" max="12" min="12" style="0" width="36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35.05" hidden="false" customHeight="false" outlineLevel="0" collapsed="false">
      <c r="A5" s="4" t="s">
        <v>16</v>
      </c>
      <c r="B5" s="4" t="s">
        <v>17</v>
      </c>
      <c r="C5" s="5" t="s">
        <v>18</v>
      </c>
      <c r="D5" s="4" t="s">
        <v>16</v>
      </c>
      <c r="E5" s="6" t="n">
        <v>9965</v>
      </c>
      <c r="F5" s="6" t="n">
        <v>14749714</v>
      </c>
      <c r="G5" s="7" t="n">
        <f aca="false">ROUND(F5/E5,1)</f>
        <v>1480.2</v>
      </c>
      <c r="H5" s="4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</row>
    <row r="6" customFormat="false" ht="35.05" hidden="false" customHeight="false" outlineLevel="0" collapsed="false">
      <c r="A6" s="4" t="s">
        <v>26</v>
      </c>
      <c r="B6" s="4" t="s">
        <v>27</v>
      </c>
      <c r="C6" s="5" t="s">
        <v>28</v>
      </c>
      <c r="D6" s="4" t="s">
        <v>29</v>
      </c>
      <c r="E6" s="6" t="n">
        <v>53920</v>
      </c>
      <c r="F6" s="6" t="n">
        <v>7834413</v>
      </c>
      <c r="G6" s="7" t="n">
        <f aca="false">ROUND(F6/E6,1)</f>
        <v>145.3</v>
      </c>
      <c r="H6" s="4" t="s">
        <v>19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5" t="s">
        <v>35</v>
      </c>
    </row>
    <row r="7" customFormat="false" ht="23.85" hidden="false" customHeight="false" outlineLevel="0" collapsed="false">
      <c r="A7" s="4" t="s">
        <v>36</v>
      </c>
      <c r="B7" s="4" t="s">
        <v>37</v>
      </c>
      <c r="C7" s="5" t="s">
        <v>38</v>
      </c>
      <c r="D7" s="4" t="s">
        <v>39</v>
      </c>
      <c r="E7" s="6" t="n">
        <v>89974</v>
      </c>
      <c r="F7" s="6" t="n">
        <v>2883627</v>
      </c>
      <c r="G7" s="7" t="n">
        <f aca="false">ROUND(F7/E7,1)</f>
        <v>32</v>
      </c>
      <c r="H7" s="4" t="s">
        <v>19</v>
      </c>
      <c r="I7" s="5" t="s">
        <v>40</v>
      </c>
      <c r="J7" s="5" t="s">
        <v>41</v>
      </c>
      <c r="K7" s="5" t="s">
        <v>42</v>
      </c>
      <c r="L7" s="5" t="s">
        <v>43</v>
      </c>
      <c r="M7" s="5" t="s">
        <v>44</v>
      </c>
      <c r="N7" s="5" t="s">
        <v>45</v>
      </c>
    </row>
    <row r="8" customFormat="false" ht="35.05" hidden="false" customHeight="false" outlineLevel="0" collapsed="false">
      <c r="A8" s="4" t="s">
        <v>46</v>
      </c>
      <c r="B8" s="4" t="s">
        <v>47</v>
      </c>
      <c r="C8" s="5" t="s">
        <v>48</v>
      </c>
      <c r="D8" s="4" t="s">
        <v>39</v>
      </c>
      <c r="E8" s="6" t="n">
        <v>78533</v>
      </c>
      <c r="F8" s="6" t="n">
        <v>7378599</v>
      </c>
      <c r="G8" s="7" t="n">
        <f aca="false">ROUND(F8/E8,1)</f>
        <v>94</v>
      </c>
      <c r="H8" s="4" t="s">
        <v>19</v>
      </c>
      <c r="I8" s="5" t="s">
        <v>40</v>
      </c>
      <c r="J8" s="5" t="s">
        <v>49</v>
      </c>
      <c r="K8" s="5" t="s">
        <v>50</v>
      </c>
      <c r="L8" s="5" t="s">
        <v>51</v>
      </c>
      <c r="M8" s="5" t="s">
        <v>52</v>
      </c>
      <c r="N8" s="5" t="s">
        <v>53</v>
      </c>
    </row>
    <row r="9" customFormat="false" ht="23.85" hidden="false" customHeight="false" outlineLevel="0" collapsed="false">
      <c r="A9" s="4" t="s">
        <v>54</v>
      </c>
      <c r="B9" s="4" t="s">
        <v>55</v>
      </c>
      <c r="C9" s="5" t="s">
        <v>56</v>
      </c>
      <c r="D9" s="4" t="s">
        <v>39</v>
      </c>
      <c r="E9" s="6" t="n">
        <v>127243</v>
      </c>
      <c r="F9" s="6" t="n">
        <v>2494973</v>
      </c>
      <c r="G9" s="7" t="n">
        <f aca="false">ROUND(F9/E9,1)</f>
        <v>19.6</v>
      </c>
      <c r="H9" s="4" t="s">
        <v>19</v>
      </c>
      <c r="I9" s="5" t="s">
        <v>20</v>
      </c>
      <c r="J9" s="5" t="s">
        <v>57</v>
      </c>
      <c r="K9" s="5" t="s">
        <v>58</v>
      </c>
      <c r="L9" s="5" t="s">
        <v>59</v>
      </c>
      <c r="M9" s="5" t="s">
        <v>60</v>
      </c>
      <c r="N9" s="5" t="s">
        <v>61</v>
      </c>
    </row>
    <row r="10" customFormat="false" ht="23.85" hidden="false" customHeight="false" outlineLevel="0" collapsed="false">
      <c r="A10" s="4" t="s">
        <v>62</v>
      </c>
      <c r="B10" s="4" t="s">
        <v>63</v>
      </c>
      <c r="C10" s="5" t="s">
        <v>64</v>
      </c>
      <c r="D10" s="4" t="s">
        <v>65</v>
      </c>
      <c r="E10" s="6" t="n">
        <v>95631</v>
      </c>
      <c r="F10" s="6" t="n">
        <v>3839776</v>
      </c>
      <c r="G10" s="7" t="n">
        <f aca="false">ROUND(F10/E10,1)</f>
        <v>40.2</v>
      </c>
      <c r="H10" s="4" t="s">
        <v>66</v>
      </c>
      <c r="I10" s="5" t="s">
        <v>67</v>
      </c>
      <c r="J10" s="5" t="s">
        <v>68</v>
      </c>
      <c r="K10" s="5" t="s">
        <v>69</v>
      </c>
      <c r="L10" s="5" t="s">
        <v>70</v>
      </c>
      <c r="M10" s="5" t="s">
        <v>71</v>
      </c>
      <c r="N10" s="5" t="s">
        <v>72</v>
      </c>
    </row>
    <row r="11" customFormat="false" ht="23.85" hidden="false" customHeight="false" outlineLevel="0" collapsed="false">
      <c r="A11" s="4" t="s">
        <v>73</v>
      </c>
      <c r="B11" s="4" t="s">
        <v>74</v>
      </c>
      <c r="C11" s="5" t="s">
        <v>75</v>
      </c>
      <c r="D11" s="4" t="s">
        <v>65</v>
      </c>
      <c r="E11" s="6" t="n">
        <v>59500</v>
      </c>
      <c r="F11" s="6" t="n">
        <v>4522671</v>
      </c>
      <c r="G11" s="7" t="n">
        <f aca="false">ROUND(F11/E11,1)</f>
        <v>76</v>
      </c>
      <c r="H11" s="4" t="s">
        <v>66</v>
      </c>
      <c r="I11" s="5" t="s">
        <v>67</v>
      </c>
      <c r="J11" s="5" t="s">
        <v>76</v>
      </c>
      <c r="K11" s="5" t="s">
        <v>77</v>
      </c>
      <c r="L11" s="5" t="s">
        <v>78</v>
      </c>
      <c r="M11" s="5" t="s">
        <v>79</v>
      </c>
      <c r="N11" s="5" t="s">
        <v>80</v>
      </c>
    </row>
    <row r="12" customFormat="false" ht="23.85" hidden="false" customHeight="false" outlineLevel="0" collapsed="false">
      <c r="A12" s="4" t="s">
        <v>81</v>
      </c>
      <c r="B12" s="4" t="s">
        <v>82</v>
      </c>
      <c r="C12" s="5" t="s">
        <v>83</v>
      </c>
      <c r="D12" s="4" t="s">
        <v>81</v>
      </c>
      <c r="E12" s="6" t="n">
        <v>9545</v>
      </c>
      <c r="F12" s="6" t="n">
        <v>4461110</v>
      </c>
      <c r="G12" s="7" t="n">
        <f aca="false">ROUND(F12/E12,1)</f>
        <v>467.4</v>
      </c>
      <c r="H12" s="4" t="s">
        <v>66</v>
      </c>
      <c r="I12" s="5" t="s">
        <v>67</v>
      </c>
      <c r="J12" s="5" t="s">
        <v>84</v>
      </c>
      <c r="K12" s="5" t="s">
        <v>85</v>
      </c>
      <c r="L12" s="5" t="s">
        <v>86</v>
      </c>
      <c r="M12" s="5" t="s">
        <v>87</v>
      </c>
      <c r="N12" s="5" t="s">
        <v>88</v>
      </c>
    </row>
    <row r="13" customFormat="false" ht="23.85" hidden="false" customHeight="false" outlineLevel="0" collapsed="false">
      <c r="A13" s="4" t="s">
        <v>89</v>
      </c>
      <c r="B13" s="4" t="s">
        <v>90</v>
      </c>
      <c r="C13" s="5" t="s">
        <v>91</v>
      </c>
      <c r="D13" s="4" t="s">
        <v>81</v>
      </c>
      <c r="E13" s="6" t="n">
        <v>56426</v>
      </c>
      <c r="F13" s="6" t="n">
        <v>3493049</v>
      </c>
      <c r="G13" s="7" t="n">
        <f aca="false">ROUND(F13/E13,1)</f>
        <v>61.9</v>
      </c>
      <c r="H13" s="4" t="s">
        <v>66</v>
      </c>
      <c r="I13" s="5" t="s">
        <v>67</v>
      </c>
      <c r="J13" s="5" t="s">
        <v>92</v>
      </c>
      <c r="K13" s="5" t="s">
        <v>77</v>
      </c>
      <c r="L13" s="5" t="s">
        <v>93</v>
      </c>
      <c r="M13" s="5" t="s">
        <v>94</v>
      </c>
      <c r="N13" s="5" t="s">
        <v>95</v>
      </c>
    </row>
    <row r="14" customFormat="false" ht="23.85" hidden="false" customHeight="false" outlineLevel="0" collapsed="false">
      <c r="A14" s="4" t="s">
        <v>96</v>
      </c>
      <c r="B14" s="4" t="s">
        <v>97</v>
      </c>
      <c r="C14" s="5" t="s">
        <v>98</v>
      </c>
      <c r="D14" s="4" t="s">
        <v>81</v>
      </c>
      <c r="E14" s="6" t="n">
        <v>104331</v>
      </c>
      <c r="F14" s="6" t="n">
        <v>2998506</v>
      </c>
      <c r="G14" s="7" t="n">
        <f aca="false">ROUND(F14/E14,1)</f>
        <v>28.7</v>
      </c>
      <c r="H14" s="4" t="s">
        <v>66</v>
      </c>
      <c r="I14" s="5" t="s">
        <v>99</v>
      </c>
      <c r="J14" s="5" t="s">
        <v>100</v>
      </c>
      <c r="K14" s="5" t="s">
        <v>101</v>
      </c>
      <c r="L14" s="5" t="s">
        <v>102</v>
      </c>
      <c r="M14" s="5" t="s">
        <v>103</v>
      </c>
      <c r="N14" s="5" t="s">
        <v>104</v>
      </c>
    </row>
    <row r="15" customFormat="false" ht="23.85" hidden="false" customHeight="false" outlineLevel="0" collapsed="false">
      <c r="A15" s="4" t="s">
        <v>105</v>
      </c>
      <c r="B15" s="4" t="s">
        <v>106</v>
      </c>
      <c r="C15" s="5" t="s">
        <v>107</v>
      </c>
      <c r="D15" s="4" t="s">
        <v>105</v>
      </c>
      <c r="E15" s="6" t="n">
        <v>132250</v>
      </c>
      <c r="F15" s="6" t="n">
        <v>3247557</v>
      </c>
      <c r="G15" s="7" t="n">
        <f aca="false">ROUND(F15/E15,1)</f>
        <v>24.6</v>
      </c>
      <c r="H15" s="4" t="s">
        <v>66</v>
      </c>
      <c r="I15" s="5" t="s">
        <v>108</v>
      </c>
      <c r="J15" s="5" t="s">
        <v>109</v>
      </c>
      <c r="K15" s="5" t="s">
        <v>110</v>
      </c>
      <c r="L15" s="5" t="s">
        <v>111</v>
      </c>
      <c r="M15" s="5" t="s">
        <v>112</v>
      </c>
      <c r="N15" s="5" t="s">
        <v>113</v>
      </c>
    </row>
    <row r="16" customFormat="false" ht="35.05" hidden="false" customHeight="false" outlineLevel="0" collapsed="false">
      <c r="A16" s="4" t="s">
        <v>114</v>
      </c>
      <c r="B16" s="4" t="s">
        <v>115</v>
      </c>
      <c r="C16" s="5" t="s">
        <v>116</v>
      </c>
      <c r="D16" s="4" t="s">
        <v>114</v>
      </c>
      <c r="E16" s="6" t="n">
        <v>64791</v>
      </c>
      <c r="F16" s="6" t="n">
        <v>8041320</v>
      </c>
      <c r="G16" s="7" t="n">
        <f aca="false">ROUND(F16/E16,1)</f>
        <v>124.1</v>
      </c>
      <c r="H16" s="4" t="s">
        <v>66</v>
      </c>
      <c r="I16" s="5" t="s">
        <v>108</v>
      </c>
      <c r="J16" s="5" t="s">
        <v>117</v>
      </c>
      <c r="K16" s="5" t="s">
        <v>118</v>
      </c>
      <c r="L16" s="5" t="s">
        <v>119</v>
      </c>
      <c r="M16" s="5" t="s">
        <v>120</v>
      </c>
      <c r="N16" s="5" t="s">
        <v>121</v>
      </c>
    </row>
    <row r="17" customFormat="false" ht="35.05" hidden="false" customHeight="false" outlineLevel="0" collapsed="false">
      <c r="A17" s="4" t="s">
        <v>122</v>
      </c>
      <c r="B17" s="4" t="s">
        <v>123</v>
      </c>
      <c r="C17" s="5" t="s">
        <v>124</v>
      </c>
      <c r="D17" s="4" t="s">
        <v>122</v>
      </c>
      <c r="E17" s="6" t="n">
        <v>59483</v>
      </c>
      <c r="F17" s="6" t="n">
        <v>9314854</v>
      </c>
      <c r="G17" s="7" t="n">
        <f aca="false">ROUND(F17/E17,1)</f>
        <v>156.6</v>
      </c>
      <c r="H17" s="4" t="s">
        <v>66</v>
      </c>
      <c r="I17" s="5" t="s">
        <v>108</v>
      </c>
      <c r="J17" s="5" t="s">
        <v>125</v>
      </c>
      <c r="K17" s="5" t="s">
        <v>126</v>
      </c>
      <c r="L17" s="5" t="s">
        <v>127</v>
      </c>
      <c r="M17" s="5" t="s">
        <v>128</v>
      </c>
      <c r="N17" s="5" t="s">
        <v>129</v>
      </c>
    </row>
    <row r="18" customFormat="false" ht="23.85" hidden="false" customHeight="false" outlineLevel="0" collapsed="false">
      <c r="A18" s="4" t="s">
        <v>130</v>
      </c>
      <c r="B18" s="4" t="s">
        <v>131</v>
      </c>
      <c r="C18" s="5" t="s">
        <v>132</v>
      </c>
      <c r="D18" s="4" t="s">
        <v>133</v>
      </c>
      <c r="E18" s="6" t="n">
        <v>65658</v>
      </c>
      <c r="F18" s="6" t="n">
        <v>4600449</v>
      </c>
      <c r="G18" s="7" t="n">
        <f aca="false">ROUND(F18/E18,1)</f>
        <v>70.1</v>
      </c>
      <c r="H18" s="4" t="s">
        <v>66</v>
      </c>
      <c r="I18" s="5" t="s">
        <v>134</v>
      </c>
      <c r="J18" s="5" t="s">
        <v>135</v>
      </c>
      <c r="K18" s="5" t="s">
        <v>136</v>
      </c>
      <c r="L18" s="5" t="s">
        <v>137</v>
      </c>
      <c r="M18" s="5" t="s">
        <v>138</v>
      </c>
      <c r="N18" s="5" t="s">
        <v>139</v>
      </c>
    </row>
    <row r="19" customFormat="false" ht="23.85" hidden="false" customHeight="false" outlineLevel="0" collapsed="false">
      <c r="A19" s="4" t="s">
        <v>140</v>
      </c>
      <c r="B19" s="4" t="s">
        <v>141</v>
      </c>
      <c r="C19" s="5" t="s">
        <v>142</v>
      </c>
      <c r="D19" s="4" t="s">
        <v>133</v>
      </c>
      <c r="E19" s="6" t="n">
        <v>89683</v>
      </c>
      <c r="F19" s="6" t="n">
        <v>2350545</v>
      </c>
      <c r="G19" s="7" t="n">
        <f aca="false">ROUND(F19/E19,1)</f>
        <v>26.2</v>
      </c>
      <c r="H19" s="4" t="s">
        <v>66</v>
      </c>
      <c r="I19" s="5" t="s">
        <v>20</v>
      </c>
      <c r="J19" s="5" t="s">
        <v>143</v>
      </c>
      <c r="K19" s="5" t="s">
        <v>144</v>
      </c>
      <c r="L19" s="5" t="s">
        <v>145</v>
      </c>
      <c r="M19" s="5" t="s">
        <v>146</v>
      </c>
      <c r="N19" s="5" t="s">
        <v>147</v>
      </c>
    </row>
    <row r="20" customFormat="false" ht="23.85" hidden="false" customHeight="false" outlineLevel="0" collapsed="false">
      <c r="A20" s="4" t="s">
        <v>148</v>
      </c>
      <c r="B20" s="4" t="s">
        <v>149</v>
      </c>
      <c r="C20" s="5" t="s">
        <v>150</v>
      </c>
      <c r="D20" s="4" t="s">
        <v>133</v>
      </c>
      <c r="E20" s="6" t="n">
        <v>199567</v>
      </c>
      <c r="F20" s="6" t="n">
        <v>2962371</v>
      </c>
      <c r="G20" s="7" t="n">
        <f aca="false">ROUND(F20/E20,1)</f>
        <v>14.8</v>
      </c>
      <c r="H20" s="4" t="s">
        <v>66</v>
      </c>
      <c r="I20" s="5" t="s">
        <v>151</v>
      </c>
      <c r="J20" s="5" t="s">
        <v>152</v>
      </c>
      <c r="K20" s="5" t="s">
        <v>153</v>
      </c>
      <c r="L20" s="5" t="s">
        <v>154</v>
      </c>
      <c r="M20" s="5" t="s">
        <v>155</v>
      </c>
      <c r="N20" s="5" t="s">
        <v>156</v>
      </c>
    </row>
    <row r="21" customFormat="false" ht="23.85" hidden="false" customHeight="false" outlineLevel="0" collapsed="false">
      <c r="A21" s="4" t="s">
        <v>157</v>
      </c>
      <c r="B21" s="4" t="s">
        <v>158</v>
      </c>
      <c r="C21" s="5" t="s">
        <v>159</v>
      </c>
      <c r="D21" s="4" t="s">
        <v>133</v>
      </c>
      <c r="E21" s="6" t="n">
        <v>148331</v>
      </c>
      <c r="F21" s="6" t="n">
        <v>1434804</v>
      </c>
      <c r="G21" s="7" t="n">
        <f aca="false">ROUND(F21/E21,1)</f>
        <v>9.7</v>
      </c>
      <c r="H21" s="4" t="s">
        <v>66</v>
      </c>
      <c r="I21" s="5" t="s">
        <v>20</v>
      </c>
      <c r="J21" s="5" t="s">
        <v>160</v>
      </c>
      <c r="K21" s="5" t="s">
        <v>161</v>
      </c>
      <c r="L21" s="5" t="s">
        <v>162</v>
      </c>
      <c r="M21" s="5" t="s">
        <v>163</v>
      </c>
      <c r="N21" s="5" t="s">
        <v>164</v>
      </c>
    </row>
    <row r="22" customFormat="false" ht="35.05" hidden="false" customHeight="false" outlineLevel="0" collapsed="false">
      <c r="A22" s="4" t="s">
        <v>165</v>
      </c>
      <c r="B22" s="4" t="s">
        <v>166</v>
      </c>
      <c r="C22" s="5" t="s">
        <v>167</v>
      </c>
      <c r="D22" s="4" t="s">
        <v>168</v>
      </c>
      <c r="E22" s="6" t="n">
        <v>56644</v>
      </c>
      <c r="F22" s="6" t="n">
        <v>1716076</v>
      </c>
      <c r="G22" s="7" t="n">
        <f aca="false">ROUND(F22/E22,1)</f>
        <v>30.3</v>
      </c>
      <c r="H22" s="4" t="s">
        <v>19</v>
      </c>
      <c r="I22" s="5" t="s">
        <v>20</v>
      </c>
      <c r="J22" s="5" t="s">
        <v>169</v>
      </c>
      <c r="K22" s="5" t="s">
        <v>170</v>
      </c>
      <c r="L22" s="5" t="s">
        <v>171</v>
      </c>
      <c r="M22" s="5" t="s">
        <v>172</v>
      </c>
      <c r="N22" s="5" t="s">
        <v>173</v>
      </c>
    </row>
    <row r="23" customFormat="false" ht="23.85" hidden="false" customHeight="false" outlineLevel="0" collapsed="false">
      <c r="A23" s="4" t="s">
        <v>174</v>
      </c>
      <c r="B23" s="4" t="s">
        <v>175</v>
      </c>
      <c r="C23" s="5" t="s">
        <v>176</v>
      </c>
      <c r="D23" s="4" t="s">
        <v>168</v>
      </c>
      <c r="E23" s="6" t="n">
        <v>58141</v>
      </c>
      <c r="F23" s="6" t="n">
        <v>2334875</v>
      </c>
      <c r="G23" s="7" t="n">
        <f aca="false">ROUND(F23/E23,1)</f>
        <v>40.2</v>
      </c>
      <c r="H23" s="4" t="s">
        <v>19</v>
      </c>
      <c r="I23" s="5" t="s">
        <v>20</v>
      </c>
      <c r="J23" s="5" t="s">
        <v>177</v>
      </c>
      <c r="K23" s="5" t="s">
        <v>178</v>
      </c>
      <c r="L23" s="5" t="s">
        <v>179</v>
      </c>
      <c r="M23" s="5" t="s">
        <v>180</v>
      </c>
      <c r="N23" s="5" t="s">
        <v>181</v>
      </c>
    </row>
    <row r="24" customFormat="false" ht="23.85" hidden="false" customHeight="false" outlineLevel="0" collapsed="false">
      <c r="A24" s="4" t="s">
        <v>182</v>
      </c>
      <c r="B24" s="4" t="s">
        <v>183</v>
      </c>
      <c r="C24" s="5" t="s">
        <v>184</v>
      </c>
      <c r="D24" s="4" t="s">
        <v>168</v>
      </c>
      <c r="E24" s="6" t="n">
        <v>51648</v>
      </c>
      <c r="F24" s="6" t="n">
        <v>3295755</v>
      </c>
      <c r="G24" s="7" t="n">
        <f aca="false">ROUND(F24/E24,1)</f>
        <v>63.8</v>
      </c>
      <c r="H24" s="4" t="s">
        <v>19</v>
      </c>
      <c r="I24" s="5" t="s">
        <v>20</v>
      </c>
      <c r="J24" s="5" t="s">
        <v>185</v>
      </c>
      <c r="K24" s="5" t="s">
        <v>186</v>
      </c>
      <c r="L24" s="5" t="s">
        <v>187</v>
      </c>
      <c r="M24" s="5" t="s">
        <v>188</v>
      </c>
      <c r="N24" s="5" t="s">
        <v>189</v>
      </c>
    </row>
    <row r="25" customFormat="false" ht="35.05" hidden="false" customHeight="false" outlineLevel="0" collapsed="false">
      <c r="A25" s="4" t="s">
        <v>168</v>
      </c>
      <c r="B25" s="4" t="s">
        <v>190</v>
      </c>
      <c r="C25" s="5" t="s">
        <v>191</v>
      </c>
      <c r="D25" s="4" t="s">
        <v>168</v>
      </c>
      <c r="E25" s="6" t="n">
        <v>103902</v>
      </c>
      <c r="F25" s="6" t="n">
        <v>2046314</v>
      </c>
      <c r="G25" s="7" t="n">
        <f aca="false">ROUND(F25/E25,1)</f>
        <v>19.7</v>
      </c>
      <c r="H25" s="4" t="s">
        <v>19</v>
      </c>
      <c r="I25" s="5" t="s">
        <v>20</v>
      </c>
      <c r="J25" s="5" t="s">
        <v>192</v>
      </c>
      <c r="K25" s="5" t="s">
        <v>193</v>
      </c>
      <c r="L25" s="5" t="s">
        <v>194</v>
      </c>
      <c r="M25" s="5" t="s">
        <v>195</v>
      </c>
      <c r="N25" s="5" t="s">
        <v>196</v>
      </c>
    </row>
    <row r="26" customFormat="false" ht="23.85" hidden="false" customHeight="false" outlineLevel="0" collapsed="false">
      <c r="A26" s="4" t="s">
        <v>197</v>
      </c>
      <c r="B26" s="4" t="s">
        <v>198</v>
      </c>
      <c r="C26" s="5" t="s">
        <v>199</v>
      </c>
      <c r="D26" s="4" t="s">
        <v>168</v>
      </c>
      <c r="E26" s="6" t="n">
        <v>132957</v>
      </c>
      <c r="F26" s="6" t="n">
        <v>2115591</v>
      </c>
      <c r="G26" s="7" t="n">
        <f aca="false">ROUND(F26/E26,1)</f>
        <v>15.9</v>
      </c>
      <c r="H26" s="4" t="s">
        <v>19</v>
      </c>
      <c r="I26" s="5" t="s">
        <v>20</v>
      </c>
      <c r="J26" s="5" t="s">
        <v>200</v>
      </c>
      <c r="K26" s="5" t="s">
        <v>201</v>
      </c>
      <c r="L26" s="5" t="s">
        <v>202</v>
      </c>
      <c r="M26" s="5" t="s">
        <v>203</v>
      </c>
      <c r="N26" s="5" t="s">
        <v>164</v>
      </c>
    </row>
    <row r="27" customFormat="false" ht="23.85" hidden="false" customHeight="false" outlineLevel="0" collapsed="false">
      <c r="A27" s="4" t="s">
        <v>204</v>
      </c>
      <c r="B27" s="4" t="s">
        <v>205</v>
      </c>
      <c r="C27" s="5" t="s">
        <v>206</v>
      </c>
      <c r="D27" s="4" t="s">
        <v>207</v>
      </c>
      <c r="E27" s="6" t="n">
        <v>134940</v>
      </c>
      <c r="F27" s="6" t="n">
        <v>4589976</v>
      </c>
      <c r="G27" s="7" t="n">
        <f aca="false">ROUND(F27/E27,1)</f>
        <v>34</v>
      </c>
      <c r="H27" s="4" t="s">
        <v>66</v>
      </c>
      <c r="I27" s="5" t="s">
        <v>108</v>
      </c>
      <c r="J27" s="5" t="s">
        <v>208</v>
      </c>
      <c r="K27" s="5" t="s">
        <v>209</v>
      </c>
      <c r="L27" s="5" t="s">
        <v>210</v>
      </c>
      <c r="M27" s="5" t="s">
        <v>211</v>
      </c>
      <c r="N27" s="5" t="s">
        <v>212</v>
      </c>
    </row>
    <row r="28" customFormat="false" ht="35.05" hidden="false" customHeight="false" outlineLevel="0" collapsed="false">
      <c r="A28" s="4" t="s">
        <v>213</v>
      </c>
      <c r="B28" s="4" t="s">
        <v>214</v>
      </c>
      <c r="C28" s="5" t="s">
        <v>215</v>
      </c>
      <c r="D28" s="4" t="s">
        <v>207</v>
      </c>
      <c r="E28" s="6" t="n">
        <v>108204</v>
      </c>
      <c r="F28" s="6" t="n">
        <v>4402222</v>
      </c>
      <c r="G28" s="7" t="n">
        <f aca="false">ROUND(F28/E28,1)</f>
        <v>40.7</v>
      </c>
      <c r="H28" s="4" t="s">
        <v>66</v>
      </c>
      <c r="I28" s="5" t="s">
        <v>108</v>
      </c>
      <c r="J28" s="5" t="s">
        <v>216</v>
      </c>
      <c r="K28" s="5" t="s">
        <v>217</v>
      </c>
      <c r="L28" s="5" t="s">
        <v>218</v>
      </c>
      <c r="M28" s="5" t="s">
        <v>219</v>
      </c>
      <c r="N28" s="5" t="s">
        <v>220</v>
      </c>
    </row>
    <row r="29" customFormat="false" ht="35.05" hidden="false" customHeight="false" outlineLevel="0" collapsed="false">
      <c r="A29" s="4" t="s">
        <v>221</v>
      </c>
      <c r="B29" s="4" t="s">
        <v>222</v>
      </c>
      <c r="C29" s="5" t="s">
        <v>223</v>
      </c>
      <c r="D29" s="4" t="s">
        <v>207</v>
      </c>
      <c r="E29" s="6" t="n">
        <v>121308</v>
      </c>
      <c r="F29" s="6" t="n">
        <v>3823104</v>
      </c>
      <c r="G29" s="7" t="n">
        <f aca="false">ROUND(F29/E29,1)</f>
        <v>31.5</v>
      </c>
      <c r="H29" s="4" t="s">
        <v>66</v>
      </c>
      <c r="I29" s="5" t="s">
        <v>108</v>
      </c>
      <c r="J29" s="5" t="s">
        <v>224</v>
      </c>
      <c r="K29" s="5" t="s">
        <v>225</v>
      </c>
      <c r="L29" s="5" t="s">
        <v>226</v>
      </c>
      <c r="M29" s="5" t="s">
        <v>227</v>
      </c>
      <c r="N29" s="5" t="s">
        <v>228</v>
      </c>
    </row>
    <row r="30" customFormat="false" ht="23.85" hidden="false" customHeight="false" outlineLevel="0" collapsed="false">
      <c r="A30" s="4" t="s">
        <v>229</v>
      </c>
      <c r="B30" s="4" t="s">
        <v>230</v>
      </c>
      <c r="C30" s="5" t="s">
        <v>231</v>
      </c>
      <c r="D30" s="4" t="s">
        <v>207</v>
      </c>
      <c r="E30" s="6" t="n">
        <v>132425</v>
      </c>
      <c r="F30" s="6" t="n">
        <v>6876621</v>
      </c>
      <c r="G30" s="7" t="n">
        <f aca="false">ROUND(F30/E30,1)</f>
        <v>51.9</v>
      </c>
      <c r="H30" s="4" t="s">
        <v>66</v>
      </c>
      <c r="I30" s="5" t="s">
        <v>108</v>
      </c>
      <c r="J30" s="5" t="s">
        <v>232</v>
      </c>
      <c r="K30" s="5" t="s">
        <v>233</v>
      </c>
      <c r="L30" s="5" t="s">
        <v>234</v>
      </c>
      <c r="M30" s="5" t="s">
        <v>235</v>
      </c>
      <c r="N30" s="5" t="s">
        <v>236</v>
      </c>
    </row>
    <row r="31" customFormat="false" ht="15" hidden="false" customHeight="false" outlineLevel="0" collapsed="false">
      <c r="A31" s="8" t="s">
        <v>237</v>
      </c>
      <c r="E31" s="9" t="n">
        <f aca="false">SUM(E5:E30)</f>
        <v>2345000</v>
      </c>
      <c r="F31" s="9" t="n">
        <f aca="false">SUM(F5:F30)</f>
        <v>117808872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8" t="s">
        <v>238</v>
      </c>
      <c r="B1" s="10"/>
    </row>
    <row r="2" customFormat="false" ht="15" hidden="false" customHeight="false" outlineLevel="0" collapsed="false">
      <c r="A2" s="11"/>
      <c r="B2" s="10"/>
    </row>
    <row r="3" customFormat="false" ht="15" hidden="false" customHeight="false" outlineLevel="0" collapsed="false">
      <c r="A3" s="8" t="s">
        <v>239</v>
      </c>
      <c r="B3" s="10" t="s">
        <v>240</v>
      </c>
    </row>
    <row r="4" customFormat="false" ht="23.85" hidden="false" customHeight="false" outlineLevel="0" collapsed="false">
      <c r="A4" s="11" t="s">
        <v>241</v>
      </c>
      <c r="B4" s="10" t="s">
        <v>242</v>
      </c>
    </row>
    <row r="5" customFormat="false" ht="15" hidden="false" customHeight="false" outlineLevel="0" collapsed="false">
      <c r="A5" s="11" t="s">
        <v>6</v>
      </c>
      <c r="B5" s="10" t="s">
        <v>243</v>
      </c>
    </row>
    <row r="6" customFormat="false" ht="15" hidden="false" customHeight="false" outlineLevel="0" collapsed="false">
      <c r="A6" s="11" t="s">
        <v>244</v>
      </c>
      <c r="B6" s="10" t="s">
        <v>245</v>
      </c>
    </row>
    <row r="7" customFormat="false" ht="23.85" hidden="false" customHeight="false" outlineLevel="0" collapsed="false">
      <c r="A7" s="11" t="s">
        <v>246</v>
      </c>
      <c r="B7" s="10" t="s">
        <v>247</v>
      </c>
    </row>
    <row r="8" customFormat="false" ht="23.85" hidden="false" customHeight="false" outlineLevel="0" collapsed="false">
      <c r="A8" s="11" t="s">
        <v>248</v>
      </c>
      <c r="B8" s="10" t="s">
        <v>249</v>
      </c>
    </row>
    <row r="9" customFormat="false" ht="23.85" hidden="false" customHeight="false" outlineLevel="0" collapsed="false">
      <c r="A9" s="11" t="s">
        <v>250</v>
      </c>
      <c r="B9" s="10" t="s">
        <v>251</v>
      </c>
    </row>
    <row r="10" customFormat="false" ht="15" hidden="false" customHeight="false" outlineLevel="0" collapsed="false">
      <c r="A10" s="11" t="s">
        <v>14</v>
      </c>
      <c r="B10" s="10" t="s">
        <v>252</v>
      </c>
    </row>
    <row r="11" customFormat="false" ht="15" hidden="false" customHeight="false" outlineLevel="0" collapsed="false">
      <c r="A11" s="11"/>
      <c r="B11" s="10"/>
    </row>
    <row r="12" customFormat="false" ht="15" hidden="false" customHeight="false" outlineLevel="0" collapsed="false">
      <c r="A12" s="11" t="s">
        <v>253</v>
      </c>
      <c r="B12" s="10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2026-07-16T01:27:31Z</dcterms:created>
  <dc:creator>openpyxl</dc:creator>
  <dc:description/>
  <dc:language>en-US</dc:language>
  <cp:lastModifiedBy/>
  <dcterms:modified xsi:type="dcterms:W3CDTF">2026-07-16T01:27:31Z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